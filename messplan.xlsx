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lexa\Desktop\Studium\Laufend\Mechatronik und Leistungselektronik Projekt VU\project_code\orbitalPropagatorComparison\"/>
    </mc:Choice>
  </mc:AlternateContent>
  <xr:revisionPtr revIDLastSave="0" documentId="13_ncr:1_{1DFA4D83-2926-4F3C-9EB1-E4AB4A7F251F}" xr6:coauthVersionLast="47" xr6:coauthVersionMax="47" xr10:uidLastSave="{00000000-0000-0000-0000-000000000000}"/>
  <bookViews>
    <workbookView xWindow="-28920" yWindow="-6750" windowWidth="29040" windowHeight="15720" xr2:uid="{00000000-000D-0000-FFFF-FFFF00000000}"/>
  </bookViews>
  <sheets>
    <sheet name="Monday_19JAN2026UTC15_55" sheetId="1" r:id="rId1"/>
    <sheet name="Tuesday_20_JAN2026UTC16_00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3" i="1"/>
  <c r="E4" i="1"/>
  <c r="E5" i="1"/>
  <c r="E6" i="1"/>
  <c r="E7" i="1"/>
</calcChain>
</file>

<file path=xl/sharedStrings.xml><?xml version="1.0" encoding="utf-8"?>
<sst xmlns="http://schemas.openxmlformats.org/spreadsheetml/2006/main" count="32" uniqueCount="22">
  <si>
    <t>Satellite</t>
  </si>
  <si>
    <t>starts at</t>
  </si>
  <si>
    <t>stays above for</t>
  </si>
  <si>
    <t>next could start at:</t>
  </si>
  <si>
    <t>Set ascending to:</t>
  </si>
  <si>
    <t>DELTA 1 DEB</t>
  </si>
  <si>
    <t>CZ-4B DEB</t>
  </si>
  <si>
    <t>COSMOS 2170</t>
  </si>
  <si>
    <t>ONEWEB-0715</t>
  </si>
  <si>
    <t>ONEWEB-0098</t>
  </si>
  <si>
    <t>TLE</t>
  </si>
  <si>
    <t>OD</t>
  </si>
  <si>
    <t>Norad-ID</t>
  </si>
  <si>
    <t>10765U</t>
  </si>
  <si>
    <t>55176U</t>
  </si>
  <si>
    <t>29215U</t>
  </si>
  <si>
    <t>45442U</t>
  </si>
  <si>
    <t>21784U</t>
  </si>
  <si>
    <t>CZ-4 DEB</t>
  </si>
  <si>
    <t>23261U</t>
  </si>
  <si>
    <t>Monday 19.01.2026, 15:55 UTC</t>
  </si>
  <si>
    <t>Tuesday 20.01.2026, 16:00 UTC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</si>
</sst>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tabSelected="1" workbookViewId="0">
      <selection activeCell="G14" sqref="G14"/>
    </sheetView>
  </sheetViews>
  <sheetFormatPr baseColWidth="10" defaultColWidth="8.88671875" defaultRowHeight="14.4" x14ac:dyDescent="0.3"/>
  <cols>
    <col min="1" max="1" width="53.6640625" customWidth="1"/>
    <col min="2" max="2" width="17.33203125" customWidth="1"/>
    <col min="3" max="3" width="7.6640625" bestFit="1" customWidth="1"/>
    <col min="4" max="4" width="13.88671875" bestFit="1" customWidth="1"/>
    <col min="5" max="5" width="17.109375" bestFit="1" customWidth="1"/>
    <col min="6" max="6" width="15.6640625" bestFit="1" customWidth="1"/>
  </cols>
  <sheetData>
    <row r="1" spans="1:7" x14ac:dyDescent="0.3">
      <c r="A1" t="s">
        <v>20</v>
      </c>
    </row>
    <row r="2" spans="1:7" x14ac:dyDescent="0.3">
      <c r="A2" t="s">
        <v>0</v>
      </c>
      <c r="B2" t="s">
        <v>12</v>
      </c>
      <c r="C2" t="s">
        <v>1</v>
      </c>
      <c r="D2" t="s">
        <v>2</v>
      </c>
      <c r="E2" t="s">
        <v>3</v>
      </c>
      <c r="F2" t="s">
        <v>4</v>
      </c>
    </row>
    <row r="3" spans="1:7" s="1" customFormat="1" x14ac:dyDescent="0.3">
      <c r="A3" s="1" t="s">
        <v>6</v>
      </c>
      <c r="B3" s="1" t="s">
        <v>15</v>
      </c>
      <c r="C3" s="1">
        <v>71.92</v>
      </c>
      <c r="D3" s="1">
        <v>6.51</v>
      </c>
      <c r="E3" s="1">
        <f t="shared" ref="E3:E8" si="0">SUM(C3,D3)</f>
        <v>78.430000000000007</v>
      </c>
      <c r="F3" s="1" t="s">
        <v>10</v>
      </c>
      <c r="G3" s="3"/>
    </row>
    <row r="4" spans="1:7" x14ac:dyDescent="0.3">
      <c r="A4" t="s">
        <v>7</v>
      </c>
      <c r="B4" t="s">
        <v>17</v>
      </c>
      <c r="C4">
        <v>79.78</v>
      </c>
      <c r="D4">
        <v>5.47</v>
      </c>
      <c r="E4">
        <f t="shared" si="0"/>
        <v>85.25</v>
      </c>
      <c r="F4" t="s">
        <v>11</v>
      </c>
      <c r="G4" s="2"/>
    </row>
    <row r="5" spans="1:7" s="1" customFormat="1" x14ac:dyDescent="0.3">
      <c r="A5" s="1" t="s">
        <v>8</v>
      </c>
      <c r="B5" s="1" t="s">
        <v>14</v>
      </c>
      <c r="C5" s="1">
        <v>87.19</v>
      </c>
      <c r="D5" s="1">
        <v>6.43</v>
      </c>
      <c r="E5" s="1">
        <f t="shared" si="0"/>
        <v>93.62</v>
      </c>
      <c r="F5" s="1" t="s">
        <v>10</v>
      </c>
      <c r="G5" s="2"/>
    </row>
    <row r="6" spans="1:7" x14ac:dyDescent="0.3">
      <c r="A6" t="s">
        <v>9</v>
      </c>
      <c r="B6" t="s">
        <v>16</v>
      </c>
      <c r="C6">
        <v>95.28</v>
      </c>
      <c r="D6">
        <v>7.19</v>
      </c>
      <c r="E6">
        <f t="shared" si="0"/>
        <v>102.47</v>
      </c>
      <c r="F6" t="s">
        <v>11</v>
      </c>
      <c r="G6" s="2"/>
    </row>
    <row r="7" spans="1:7" x14ac:dyDescent="0.3">
      <c r="A7" t="s">
        <v>5</v>
      </c>
      <c r="B7" t="s">
        <v>13</v>
      </c>
      <c r="C7">
        <v>105.62</v>
      </c>
      <c r="D7">
        <v>10.02</v>
      </c>
      <c r="E7">
        <f t="shared" si="0"/>
        <v>115.64</v>
      </c>
      <c r="F7" t="s">
        <v>11</v>
      </c>
      <c r="G7" s="2"/>
    </row>
    <row r="8" spans="1:7" s="1" customFormat="1" x14ac:dyDescent="0.3">
      <c r="A8" s="1" t="s">
        <v>18</v>
      </c>
      <c r="B8" s="1" t="s">
        <v>19</v>
      </c>
      <c r="C8" s="1">
        <v>115.75</v>
      </c>
      <c r="D8" s="1">
        <v>4.67</v>
      </c>
      <c r="E8" s="1">
        <f t="shared" si="0"/>
        <v>120.42</v>
      </c>
      <c r="F8" s="1" t="s">
        <v>10</v>
      </c>
      <c r="G8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148D0-CE3C-4A39-93CB-9E0152AEB5C3}">
  <dimension ref="A1:F2"/>
  <sheetViews>
    <sheetView workbookViewId="0">
      <selection activeCell="J23" sqref="J23"/>
    </sheetView>
  </sheetViews>
  <sheetFormatPr baseColWidth="10" defaultRowHeight="14.4" x14ac:dyDescent="0.3"/>
  <cols>
    <col min="4" max="4" width="13.88671875" bestFit="1" customWidth="1"/>
    <col min="5" max="5" width="17.109375" bestFit="1" customWidth="1"/>
    <col min="6" max="6" width="15.6640625" bestFit="1" customWidth="1"/>
  </cols>
  <sheetData>
    <row r="1" spans="1:6" x14ac:dyDescent="0.3">
      <c r="A1" t="s">
        <v>21</v>
      </c>
    </row>
    <row r="2" spans="1:6" x14ac:dyDescent="0.3">
      <c r="A2" t="s">
        <v>0</v>
      </c>
      <c r="B2" t="s">
        <v>12</v>
      </c>
      <c r="C2" t="s">
        <v>1</v>
      </c>
      <c r="D2" t="s">
        <v>2</v>
      </c>
      <c r="E2" t="s">
        <v>3</v>
      </c>
      <c r="F2" t="s">
        <v>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Monday_19JAN2026UTC15_55</vt:lpstr>
      <vt:lpstr>Tuesday_20_JAN2026UTC16_00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Dvorak</dc:creator>
  <cp:lastModifiedBy>Alexander Dvorak</cp:lastModifiedBy>
  <dcterms:created xsi:type="dcterms:W3CDTF">2015-06-05T18:19:34Z</dcterms:created>
  <dcterms:modified xsi:type="dcterms:W3CDTF">2026-01-20T16:00:43Z</dcterms:modified>
</cp:coreProperties>
</file>