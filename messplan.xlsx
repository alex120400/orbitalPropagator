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xa\Desktop\Studium\Laufend\Mechatronik und Leistungselektronik Projekt VU\project_code\orbitalPropagatorComparison\"/>
    </mc:Choice>
  </mc:AlternateContent>
  <xr:revisionPtr revIDLastSave="0" documentId="13_ncr:1_{C256EB42-3941-4BC9-B497-7A51B6BAB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da_19JAN2026UTC16_5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</calcChain>
</file>

<file path=xl/sharedStrings.xml><?xml version="1.0" encoding="utf-8"?>
<sst xmlns="http://schemas.openxmlformats.org/spreadsheetml/2006/main" count="64" uniqueCount="44">
  <si>
    <t>STARLINK-1298</t>
  </si>
  <si>
    <t>Satellite</t>
  </si>
  <si>
    <t>starts at</t>
  </si>
  <si>
    <t>stays above for</t>
  </si>
  <si>
    <t>next could start at:</t>
  </si>
  <si>
    <t>Set ascending to:</t>
  </si>
  <si>
    <t>Monday 19.01.2026, 16:55 UTC</t>
  </si>
  <si>
    <t>SL-3 DEB</t>
  </si>
  <si>
    <t>SL-24 R/B</t>
  </si>
  <si>
    <t>STARLINK-1337</t>
  </si>
  <si>
    <t>DMSP 5D-2 F13 DEB</t>
  </si>
  <si>
    <t>CZ-6A DEB</t>
  </si>
  <si>
    <t>FENGYUN 1C DEB</t>
  </si>
  <si>
    <t>DELTA 1 DEB</t>
  </si>
  <si>
    <t>CZ-4B DEB</t>
  </si>
  <si>
    <t>COSMOS 2170</t>
  </si>
  <si>
    <t>ONEWEB-0715</t>
  </si>
  <si>
    <t>ONEWEB-0098</t>
  </si>
  <si>
    <t>SL-8 R/B</t>
  </si>
  <si>
    <t>TLE</t>
  </si>
  <si>
    <t>OD</t>
  </si>
  <si>
    <t>Norad-ID</t>
  </si>
  <si>
    <t>10765U</t>
  </si>
  <si>
    <t>55176U</t>
  </si>
  <si>
    <t>29215U</t>
  </si>
  <si>
    <t>12166U</t>
  </si>
  <si>
    <t>54473U</t>
  </si>
  <si>
    <t>40402U</t>
  </si>
  <si>
    <t>27610U</t>
  </si>
  <si>
    <t>48656U</t>
  </si>
  <si>
    <t>21126U</t>
  </si>
  <si>
    <t>45413U</t>
  </si>
  <si>
    <t>11546U</t>
  </si>
  <si>
    <t>45442U</t>
  </si>
  <si>
    <t>21784U</t>
  </si>
  <si>
    <t>30749U</t>
  </si>
  <si>
    <t>45582U</t>
  </si>
  <si>
    <t>STARLINK-1413</t>
  </si>
  <si>
    <t>45689U</t>
  </si>
  <si>
    <t>StARLINK-1318</t>
  </si>
  <si>
    <t>SL-16 R/B</t>
  </si>
  <si>
    <t>23343U</t>
  </si>
  <si>
    <t>30222U</t>
  </si>
  <si>
    <t>30577U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</si>
</sst>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12" sqref="I12"/>
    </sheetView>
  </sheetViews>
  <sheetFormatPr baseColWidth="10" defaultColWidth="8.88671875" defaultRowHeight="14.4" x14ac:dyDescent="0.3"/>
  <cols>
    <col min="1" max="1" width="53.6640625" customWidth="1"/>
    <col min="2" max="2" width="17.21875" customWidth="1"/>
    <col min="3" max="3" width="7.77734375" bestFit="1" customWidth="1"/>
    <col min="4" max="4" width="13.88671875" bestFit="1" customWidth="1"/>
    <col min="5" max="5" width="17.109375" bestFit="1" customWidth="1"/>
    <col min="6" max="6" width="15.6640625" bestFit="1" customWidth="1"/>
  </cols>
  <sheetData>
    <row r="1" spans="1:7" x14ac:dyDescent="0.3">
      <c r="A1" t="s">
        <v>6</v>
      </c>
    </row>
    <row r="2" spans="1:7" x14ac:dyDescent="0.3">
      <c r="A2" t="s">
        <v>1</v>
      </c>
      <c r="B2" t="s">
        <v>21</v>
      </c>
      <c r="C2" t="s">
        <v>2</v>
      </c>
      <c r="D2" t="s">
        <v>3</v>
      </c>
      <c r="E2" t="s">
        <v>4</v>
      </c>
      <c r="F2" t="s">
        <v>5</v>
      </c>
    </row>
    <row r="3" spans="1:7" s="1" customFormat="1" x14ac:dyDescent="0.3">
      <c r="A3" s="1" t="s">
        <v>0</v>
      </c>
      <c r="B3" s="1" t="s">
        <v>31</v>
      </c>
      <c r="C3" s="1">
        <v>4.3499999999999996</v>
      </c>
      <c r="D3" s="1">
        <v>2.13</v>
      </c>
      <c r="E3" s="1">
        <f>SUM(C3,D3)</f>
        <v>6.4799999999999995</v>
      </c>
      <c r="F3" s="1" t="s">
        <v>19</v>
      </c>
    </row>
    <row r="4" spans="1:7" x14ac:dyDescent="0.3">
      <c r="A4" t="s">
        <v>37</v>
      </c>
      <c r="B4" t="s">
        <v>38</v>
      </c>
      <c r="C4">
        <v>7</v>
      </c>
      <c r="D4">
        <v>3.62</v>
      </c>
      <c r="E4">
        <f t="shared" ref="E4:E21" si="0">SUM(C4,D4)</f>
        <v>10.620000000000001</v>
      </c>
      <c r="F4" t="s">
        <v>20</v>
      </c>
    </row>
    <row r="5" spans="1:7" s="1" customFormat="1" x14ac:dyDescent="0.3">
      <c r="A5" s="1" t="s">
        <v>7</v>
      </c>
      <c r="B5" s="1" t="s">
        <v>30</v>
      </c>
      <c r="C5" s="1">
        <v>12.4</v>
      </c>
      <c r="D5" s="1">
        <v>5.68</v>
      </c>
      <c r="E5" s="1">
        <f t="shared" si="0"/>
        <v>18.079999999999998</v>
      </c>
      <c r="F5" s="1" t="s">
        <v>19</v>
      </c>
    </row>
    <row r="6" spans="1:7" s="1" customFormat="1" x14ac:dyDescent="0.3">
      <c r="A6" s="1" t="s">
        <v>39</v>
      </c>
      <c r="B6" s="1" t="s">
        <v>29</v>
      </c>
      <c r="C6" s="1">
        <v>24.09</v>
      </c>
      <c r="D6" s="1">
        <v>1.01</v>
      </c>
      <c r="E6" s="1">
        <f t="shared" si="0"/>
        <v>25.1</v>
      </c>
      <c r="F6" s="1" t="s">
        <v>19</v>
      </c>
    </row>
    <row r="7" spans="1:7" s="1" customFormat="1" x14ac:dyDescent="0.3">
      <c r="A7" s="1" t="s">
        <v>8</v>
      </c>
      <c r="B7" s="1" t="s">
        <v>28</v>
      </c>
      <c r="C7" s="1">
        <v>28.42</v>
      </c>
      <c r="D7" s="1">
        <v>4.84</v>
      </c>
      <c r="E7" s="1">
        <f t="shared" si="0"/>
        <v>33.260000000000005</v>
      </c>
      <c r="F7" s="1" t="s">
        <v>19</v>
      </c>
    </row>
    <row r="8" spans="1:7" x14ac:dyDescent="0.3">
      <c r="A8" t="s">
        <v>9</v>
      </c>
      <c r="B8" t="s">
        <v>36</v>
      </c>
      <c r="C8">
        <v>34.26</v>
      </c>
      <c r="D8">
        <v>3.3</v>
      </c>
      <c r="E8">
        <f t="shared" si="0"/>
        <v>37.559999999999995</v>
      </c>
      <c r="F8" t="s">
        <v>20</v>
      </c>
    </row>
    <row r="9" spans="1:7" s="1" customFormat="1" x14ac:dyDescent="0.3">
      <c r="A9" s="1" t="s">
        <v>10</v>
      </c>
      <c r="B9" s="1" t="s">
        <v>27</v>
      </c>
      <c r="C9" s="1">
        <v>38.880000000000003</v>
      </c>
      <c r="D9" s="1">
        <v>4.4800000000000004</v>
      </c>
      <c r="E9" s="1">
        <f t="shared" si="0"/>
        <v>43.36</v>
      </c>
      <c r="F9" s="1" t="s">
        <v>19</v>
      </c>
    </row>
    <row r="10" spans="1:7" s="1" customFormat="1" x14ac:dyDescent="0.3">
      <c r="A10" s="1" t="s">
        <v>11</v>
      </c>
      <c r="B10" s="1" t="s">
        <v>26</v>
      </c>
      <c r="C10" s="1">
        <v>48.04</v>
      </c>
      <c r="D10" s="1">
        <v>5.5</v>
      </c>
      <c r="E10" s="1">
        <f t="shared" si="0"/>
        <v>53.54</v>
      </c>
      <c r="F10" s="1" t="s">
        <v>19</v>
      </c>
    </row>
    <row r="11" spans="1:7" x14ac:dyDescent="0.3">
      <c r="A11" t="s">
        <v>12</v>
      </c>
      <c r="B11" t="s">
        <v>35</v>
      </c>
      <c r="C11">
        <v>55.4</v>
      </c>
      <c r="D11">
        <v>5.27</v>
      </c>
      <c r="E11">
        <f t="shared" si="0"/>
        <v>60.67</v>
      </c>
      <c r="F11" t="s">
        <v>20</v>
      </c>
    </row>
    <row r="12" spans="1:7" s="1" customFormat="1" x14ac:dyDescent="0.3">
      <c r="A12" s="1" t="s">
        <v>13</v>
      </c>
      <c r="B12" s="1" t="s">
        <v>25</v>
      </c>
      <c r="C12" s="1">
        <v>61.99</v>
      </c>
      <c r="D12" s="1">
        <v>3.99</v>
      </c>
      <c r="E12" s="1">
        <f t="shared" si="0"/>
        <v>65.98</v>
      </c>
      <c r="F12" s="1" t="s">
        <v>19</v>
      </c>
    </row>
    <row r="13" spans="1:7" s="1" customFormat="1" x14ac:dyDescent="0.3">
      <c r="A13" s="1" t="s">
        <v>14</v>
      </c>
      <c r="B13" s="1" t="s">
        <v>24</v>
      </c>
      <c r="C13" s="1">
        <v>71.92</v>
      </c>
      <c r="D13" s="1">
        <v>6.51</v>
      </c>
      <c r="E13" s="1">
        <f t="shared" si="0"/>
        <v>78.430000000000007</v>
      </c>
      <c r="F13" s="1" t="s">
        <v>19</v>
      </c>
      <c r="G13" s="2"/>
    </row>
    <row r="14" spans="1:7" x14ac:dyDescent="0.3">
      <c r="A14" t="s">
        <v>15</v>
      </c>
      <c r="B14" t="s">
        <v>34</v>
      </c>
      <c r="C14">
        <v>79.78</v>
      </c>
      <c r="D14">
        <v>5.47</v>
      </c>
      <c r="E14">
        <f t="shared" si="0"/>
        <v>85.25</v>
      </c>
      <c r="F14" t="s">
        <v>20</v>
      </c>
    </row>
    <row r="15" spans="1:7" s="1" customFormat="1" x14ac:dyDescent="0.3">
      <c r="A15" s="1" t="s">
        <v>16</v>
      </c>
      <c r="B15" s="1" t="s">
        <v>23</v>
      </c>
      <c r="C15" s="1">
        <v>87.19</v>
      </c>
      <c r="D15" s="1">
        <v>6.43</v>
      </c>
      <c r="E15" s="1">
        <f t="shared" si="0"/>
        <v>93.62</v>
      </c>
      <c r="F15" s="1" t="s">
        <v>19</v>
      </c>
    </row>
    <row r="16" spans="1:7" x14ac:dyDescent="0.3">
      <c r="A16" t="s">
        <v>17</v>
      </c>
      <c r="B16" t="s">
        <v>33</v>
      </c>
      <c r="C16">
        <v>95.28</v>
      </c>
      <c r="D16">
        <v>7.19</v>
      </c>
      <c r="E16">
        <f t="shared" si="0"/>
        <v>102.47</v>
      </c>
      <c r="F16" t="s">
        <v>20</v>
      </c>
    </row>
    <row r="17" spans="1:6" x14ac:dyDescent="0.3">
      <c r="A17" t="s">
        <v>13</v>
      </c>
      <c r="B17" t="s">
        <v>22</v>
      </c>
      <c r="C17">
        <v>105.62</v>
      </c>
      <c r="D17">
        <v>10.02</v>
      </c>
      <c r="E17">
        <f t="shared" si="0"/>
        <v>115.64</v>
      </c>
      <c r="F17" t="s">
        <v>20</v>
      </c>
    </row>
    <row r="18" spans="1:6" x14ac:dyDescent="0.3">
      <c r="A18" t="s">
        <v>18</v>
      </c>
      <c r="B18" t="s">
        <v>32</v>
      </c>
      <c r="C18">
        <v>120.15</v>
      </c>
      <c r="D18">
        <v>7.29</v>
      </c>
      <c r="E18">
        <f t="shared" si="0"/>
        <v>127.44000000000001</v>
      </c>
      <c r="F18" t="s">
        <v>20</v>
      </c>
    </row>
    <row r="19" spans="1:6" s="1" customFormat="1" x14ac:dyDescent="0.3">
      <c r="A19" s="1" t="s">
        <v>40</v>
      </c>
      <c r="B19" s="1" t="s">
        <v>41</v>
      </c>
      <c r="C19" s="1">
        <v>128.19</v>
      </c>
      <c r="D19" s="1">
        <v>4.79</v>
      </c>
      <c r="E19" s="1">
        <f t="shared" si="0"/>
        <v>132.97999999999999</v>
      </c>
      <c r="F19" s="1" t="s">
        <v>19</v>
      </c>
    </row>
    <row r="20" spans="1:6" s="1" customFormat="1" x14ac:dyDescent="0.3">
      <c r="A20" s="1" t="s">
        <v>12</v>
      </c>
      <c r="B20" s="1" t="s">
        <v>42</v>
      </c>
      <c r="C20" s="1">
        <v>142.21</v>
      </c>
      <c r="D20" s="1">
        <v>6.68</v>
      </c>
      <c r="E20" s="1">
        <f t="shared" si="0"/>
        <v>148.89000000000001</v>
      </c>
      <c r="F20" s="1" t="s">
        <v>19</v>
      </c>
    </row>
    <row r="21" spans="1:6" x14ac:dyDescent="0.3">
      <c r="A21" t="s">
        <v>12</v>
      </c>
      <c r="B21" t="s">
        <v>43</v>
      </c>
      <c r="C21">
        <v>155.88</v>
      </c>
      <c r="D21">
        <v>6.25</v>
      </c>
      <c r="E21">
        <f t="shared" si="0"/>
        <v>162.13</v>
      </c>
      <c r="F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Monda_19JAN2026UTC16_55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Dvorak</dc:creator>
  <cp:lastModifiedBy>Alexander Dvorak</cp:lastModifiedBy>
  <dcterms:created xsi:type="dcterms:W3CDTF">2015-06-05T18:19:34Z</dcterms:created>
  <dcterms:modified xsi:type="dcterms:W3CDTF">2026-01-19T17:06:24Z</dcterms:modified>
</cp:coreProperties>
</file>