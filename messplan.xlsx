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lexa\Desktop\Studium\Laufend\Mechatronik und Leistungselektronik Projekt VU\project_code\orbitalPropagatorComparison\"/>
    </mc:Choice>
  </mc:AlternateContent>
  <xr:revisionPtr revIDLastSave="0" documentId="13_ncr:1_{BF350AAF-77BC-468D-9C65-13B2665327A1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Monday_19JAN2026UTC15_55" sheetId="1" r:id="rId1"/>
    <sheet name="Tuesday_20_JAN2026UTC16_00" sheetId="2" r:id="rId2"/>
    <sheet name="Wednesday_17FEB2026UTC04_00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" l="1"/>
  <c r="E4" i="3"/>
  <c r="E5" i="3"/>
  <c r="E6" i="3"/>
  <c r="E7" i="3"/>
  <c r="E8" i="3"/>
  <c r="E9" i="3"/>
  <c r="E10" i="3"/>
  <c r="E11" i="3"/>
  <c r="E3" i="3"/>
  <c r="E4" i="2"/>
  <c r="E5" i="2"/>
  <c r="E6" i="2"/>
  <c r="E7" i="2"/>
  <c r="E8" i="2"/>
  <c r="E3" i="2"/>
  <c r="E7" i="1"/>
  <c r="E3" i="1"/>
  <c r="E4" i="1"/>
  <c r="E5" i="1"/>
  <c r="E6" i="1"/>
</calcChain>
</file>

<file path=xl/sharedStrings.xml><?xml version="1.0" encoding="utf-8"?>
<sst xmlns="http://schemas.openxmlformats.org/spreadsheetml/2006/main" count="101" uniqueCount="59">
  <si>
    <t>Satellite</t>
  </si>
  <si>
    <t>starts at</t>
  </si>
  <si>
    <t>stays above for</t>
  </si>
  <si>
    <t>next could start at:</t>
  </si>
  <si>
    <t>Set ascending to:</t>
  </si>
  <si>
    <t>DELTA 1 DEB</t>
  </si>
  <si>
    <t>COSMOS 2170</t>
  </si>
  <si>
    <t>ONEWEB-0715</t>
  </si>
  <si>
    <t>ONEWEB-0098</t>
  </si>
  <si>
    <t>TLE</t>
  </si>
  <si>
    <t>OD</t>
  </si>
  <si>
    <t>Norad-ID</t>
  </si>
  <si>
    <t>10765U</t>
  </si>
  <si>
    <t>55176U</t>
  </si>
  <si>
    <t>45442U</t>
  </si>
  <si>
    <t>21784U</t>
  </si>
  <si>
    <t>CZ-4 DEB</t>
  </si>
  <si>
    <t>23261U</t>
  </si>
  <si>
    <t>Monday 19.01.2026, 15:55 UTC</t>
  </si>
  <si>
    <t>Tuesday 20.01.2026, 16:00 UTC</t>
  </si>
  <si>
    <t>Indicator:</t>
  </si>
  <si>
    <t>comment</t>
  </si>
  <si>
    <t>Teil am Anfang leer, rest super</t>
  </si>
  <si>
    <t>super</t>
  </si>
  <si>
    <t>Satellit nur im abgsteigenden Teil sichtbar</t>
  </si>
  <si>
    <t>12217U</t>
  </si>
  <si>
    <t>SL-8 R/B</t>
  </si>
  <si>
    <t>13034U</t>
  </si>
  <si>
    <t>KITSAT 3</t>
  </si>
  <si>
    <t>25756U</t>
  </si>
  <si>
    <t>ONEWEB-0399</t>
  </si>
  <si>
    <t>50479U</t>
  </si>
  <si>
    <t>NOAA 6</t>
  </si>
  <si>
    <t>11416U</t>
  </si>
  <si>
    <t>comment:</t>
  </si>
  <si>
    <t>Satellit nur in mittlerem Teilfenster sichtbar, aber rund um Switch</t>
  </si>
  <si>
    <t>Satellit kaum bzw nur recht selten sichtbar, aber vor und nach Switch</t>
  </si>
  <si>
    <t>Super</t>
  </si>
  <si>
    <t>Blinderfleck dabei, aber sonst gut</t>
  </si>
  <si>
    <t>OBJECT B</t>
  </si>
  <si>
    <t>49316U</t>
  </si>
  <si>
    <t>CSG-1</t>
  </si>
  <si>
    <t>44873U</t>
  </si>
  <si>
    <t>COSMO SKYMED FM3</t>
  </si>
  <si>
    <t>67304U</t>
  </si>
  <si>
    <t>SAOCOM 1-A</t>
  </si>
  <si>
    <t>43641U</t>
  </si>
  <si>
    <t>SARAL</t>
  </si>
  <si>
    <t>39086U</t>
  </si>
  <si>
    <t>COSMOS 2355</t>
  </si>
  <si>
    <t>25366U</t>
  </si>
  <si>
    <t>YUNHAI 3-02</t>
  </si>
  <si>
    <t>59343U</t>
  </si>
  <si>
    <t>TIANHUI 6B</t>
  </si>
  <si>
    <t>55839U</t>
  </si>
  <si>
    <t>GEESAT 2-09</t>
  </si>
  <si>
    <t>58913U</t>
  </si>
  <si>
    <t>63345U</t>
  </si>
  <si>
    <t>YUNYAQ-1 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</si>
</sst>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 applyFill="1"/>
    <xf numFmtId="0" fontId="1" fillId="5" borderId="0" xfId="0" applyFont="1" applyFill="1"/>
    <xf numFmtId="0" fontId="0" fillId="0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workbookViewId="0">
      <selection activeCell="J19" sqref="J19"/>
    </sheetView>
  </sheetViews>
  <sheetFormatPr baseColWidth="10" defaultColWidth="8.88671875" defaultRowHeight="14.4" x14ac:dyDescent="0.3"/>
  <cols>
    <col min="1" max="1" width="53.6640625" customWidth="1"/>
    <col min="2" max="2" width="17.33203125" customWidth="1"/>
    <col min="3" max="3" width="7.6640625" bestFit="1" customWidth="1"/>
    <col min="4" max="4" width="13.88671875" bestFit="1" customWidth="1"/>
    <col min="5" max="5" width="17.109375" bestFit="1" customWidth="1"/>
    <col min="6" max="6" width="15.6640625" bestFit="1" customWidth="1"/>
    <col min="8" max="8" width="37.77734375" bestFit="1" customWidth="1"/>
  </cols>
  <sheetData>
    <row r="1" spans="1:8" x14ac:dyDescent="0.3">
      <c r="A1" t="s">
        <v>18</v>
      </c>
    </row>
    <row r="2" spans="1:8" x14ac:dyDescent="0.3">
      <c r="A2" t="s">
        <v>0</v>
      </c>
      <c r="B2" t="s">
        <v>11</v>
      </c>
      <c r="C2" t="s">
        <v>1</v>
      </c>
      <c r="D2" t="s">
        <v>2</v>
      </c>
      <c r="E2" t="s">
        <v>3</v>
      </c>
      <c r="F2" t="s">
        <v>4</v>
      </c>
      <c r="G2" t="s">
        <v>20</v>
      </c>
      <c r="H2" t="s">
        <v>21</v>
      </c>
    </row>
    <row r="3" spans="1:8" x14ac:dyDescent="0.3">
      <c r="A3" t="s">
        <v>6</v>
      </c>
      <c r="B3" t="s">
        <v>15</v>
      </c>
      <c r="C3">
        <v>79.78</v>
      </c>
      <c r="D3">
        <v>5.47</v>
      </c>
      <c r="E3">
        <f t="shared" ref="E3:E7" si="0">SUM(C3,D3)</f>
        <v>85.25</v>
      </c>
      <c r="F3" t="s">
        <v>10</v>
      </c>
      <c r="G3" s="2"/>
      <c r="H3" t="s">
        <v>22</v>
      </c>
    </row>
    <row r="4" spans="1:8" s="1" customFormat="1" x14ac:dyDescent="0.3">
      <c r="A4" s="1" t="s">
        <v>7</v>
      </c>
      <c r="B4" s="1" t="s">
        <v>13</v>
      </c>
      <c r="C4" s="1">
        <v>87.19</v>
      </c>
      <c r="D4" s="1">
        <v>6.43</v>
      </c>
      <c r="E4" s="1">
        <f t="shared" si="0"/>
        <v>93.62</v>
      </c>
      <c r="F4" s="1" t="s">
        <v>9</v>
      </c>
      <c r="G4" s="2"/>
      <c r="H4" s="1" t="s">
        <v>23</v>
      </c>
    </row>
    <row r="5" spans="1:8" x14ac:dyDescent="0.3">
      <c r="A5" t="s">
        <v>8</v>
      </c>
      <c r="B5" t="s">
        <v>14</v>
      </c>
      <c r="C5">
        <v>95.28</v>
      </c>
      <c r="D5">
        <v>7.19</v>
      </c>
      <c r="E5">
        <f t="shared" si="0"/>
        <v>102.47</v>
      </c>
      <c r="F5" t="s">
        <v>10</v>
      </c>
      <c r="G5" s="2"/>
      <c r="H5" t="s">
        <v>23</v>
      </c>
    </row>
    <row r="6" spans="1:8" x14ac:dyDescent="0.3">
      <c r="A6" t="s">
        <v>5</v>
      </c>
      <c r="B6" t="s">
        <v>12</v>
      </c>
      <c r="C6">
        <v>105.62</v>
      </c>
      <c r="D6">
        <v>10.02</v>
      </c>
      <c r="E6">
        <f t="shared" si="0"/>
        <v>115.64</v>
      </c>
      <c r="F6" t="s">
        <v>10</v>
      </c>
      <c r="G6" s="2"/>
      <c r="H6" t="s">
        <v>23</v>
      </c>
    </row>
    <row r="7" spans="1:8" s="1" customFormat="1" x14ac:dyDescent="0.3">
      <c r="A7" s="1" t="s">
        <v>16</v>
      </c>
      <c r="B7" s="1" t="s">
        <v>17</v>
      </c>
      <c r="C7" s="1">
        <v>115.75</v>
      </c>
      <c r="D7" s="1">
        <v>4.67</v>
      </c>
      <c r="E7" s="1">
        <f t="shared" si="0"/>
        <v>120.42</v>
      </c>
      <c r="F7" s="1" t="s">
        <v>9</v>
      </c>
      <c r="G7" s="3"/>
      <c r="H7" s="1" t="s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148D0-CE3C-4A39-93CB-9E0152AEB5C3}">
  <dimension ref="A1:H8"/>
  <sheetViews>
    <sheetView workbookViewId="0">
      <selection sqref="A1:A2"/>
    </sheetView>
  </sheetViews>
  <sheetFormatPr baseColWidth="10" defaultRowHeight="14.4" x14ac:dyDescent="0.3"/>
  <cols>
    <col min="1" max="1" width="26.88671875" bestFit="1" customWidth="1"/>
    <col min="4" max="4" width="13.88671875" bestFit="1" customWidth="1"/>
    <col min="5" max="5" width="17.109375" bestFit="1" customWidth="1"/>
    <col min="6" max="6" width="15.6640625" bestFit="1" customWidth="1"/>
    <col min="8" max="8" width="57.109375" bestFit="1" customWidth="1"/>
  </cols>
  <sheetData>
    <row r="1" spans="1:8" x14ac:dyDescent="0.3">
      <c r="A1" t="s">
        <v>19</v>
      </c>
    </row>
    <row r="2" spans="1:8" x14ac:dyDescent="0.3">
      <c r="A2" t="s">
        <v>0</v>
      </c>
      <c r="B2" t="s">
        <v>11</v>
      </c>
      <c r="C2" t="s">
        <v>1</v>
      </c>
      <c r="D2" t="s">
        <v>2</v>
      </c>
      <c r="E2" t="s">
        <v>3</v>
      </c>
      <c r="F2" t="s">
        <v>4</v>
      </c>
      <c r="G2" t="s">
        <v>20</v>
      </c>
      <c r="H2" t="s">
        <v>34</v>
      </c>
    </row>
    <row r="3" spans="1:8" x14ac:dyDescent="0.3">
      <c r="A3" t="s">
        <v>6</v>
      </c>
      <c r="B3" t="s">
        <v>15</v>
      </c>
      <c r="C3">
        <v>0.45</v>
      </c>
      <c r="D3">
        <v>10.37</v>
      </c>
      <c r="E3">
        <f>SUM(C3,D3)</f>
        <v>10.819999999999999</v>
      </c>
      <c r="F3" t="s">
        <v>10</v>
      </c>
      <c r="G3" s="2"/>
      <c r="H3" t="s">
        <v>35</v>
      </c>
    </row>
    <row r="4" spans="1:8" s="1" customFormat="1" x14ac:dyDescent="0.3">
      <c r="A4" s="1" t="s">
        <v>5</v>
      </c>
      <c r="B4" s="1" t="s">
        <v>25</v>
      </c>
      <c r="C4" s="1">
        <v>18.260000000000002</v>
      </c>
      <c r="D4" s="1">
        <v>4.8</v>
      </c>
      <c r="E4" s="1">
        <f t="shared" ref="E4:E8" si="0">SUM(C4,D4)</f>
        <v>23.060000000000002</v>
      </c>
      <c r="F4" s="1" t="s">
        <v>9</v>
      </c>
      <c r="G4" s="3"/>
      <c r="H4" s="1" t="s">
        <v>36</v>
      </c>
    </row>
    <row r="5" spans="1:8" x14ac:dyDescent="0.3">
      <c r="A5" t="s">
        <v>26</v>
      </c>
      <c r="B5" t="s">
        <v>27</v>
      </c>
      <c r="C5">
        <v>56.6</v>
      </c>
      <c r="D5">
        <v>6.72</v>
      </c>
      <c r="E5">
        <f t="shared" si="0"/>
        <v>63.32</v>
      </c>
      <c r="F5" t="s">
        <v>10</v>
      </c>
      <c r="G5" s="2"/>
      <c r="H5" t="s">
        <v>37</v>
      </c>
    </row>
    <row r="6" spans="1:8" s="1" customFormat="1" x14ac:dyDescent="0.3">
      <c r="A6" s="1" t="s">
        <v>28</v>
      </c>
      <c r="B6" s="1" t="s">
        <v>29</v>
      </c>
      <c r="C6" s="1">
        <v>74.97</v>
      </c>
      <c r="D6" s="1">
        <v>5.0199999999999996</v>
      </c>
      <c r="E6" s="1">
        <f t="shared" si="0"/>
        <v>79.989999999999995</v>
      </c>
      <c r="F6" s="1" t="s">
        <v>9</v>
      </c>
      <c r="G6" s="2"/>
      <c r="H6" s="1" t="s">
        <v>37</v>
      </c>
    </row>
    <row r="7" spans="1:8" s="1" customFormat="1" x14ac:dyDescent="0.3">
      <c r="A7" s="1" t="s">
        <v>30</v>
      </c>
      <c r="B7" s="1" t="s">
        <v>31</v>
      </c>
      <c r="C7" s="1">
        <v>82.38</v>
      </c>
      <c r="D7" s="1">
        <v>6.91</v>
      </c>
      <c r="E7" s="1">
        <f t="shared" si="0"/>
        <v>89.289999999999992</v>
      </c>
      <c r="F7" s="1" t="s">
        <v>9</v>
      </c>
      <c r="G7" s="2"/>
      <c r="H7" s="1" t="s">
        <v>38</v>
      </c>
    </row>
    <row r="8" spans="1:8" s="1" customFormat="1" x14ac:dyDescent="0.3">
      <c r="A8" s="1" t="s">
        <v>32</v>
      </c>
      <c r="B8" s="1" t="s">
        <v>33</v>
      </c>
      <c r="C8" s="1">
        <v>106.09</v>
      </c>
      <c r="D8" s="1">
        <v>5.89</v>
      </c>
      <c r="E8" s="1">
        <f t="shared" si="0"/>
        <v>111.98</v>
      </c>
      <c r="F8" s="1" t="s">
        <v>9</v>
      </c>
      <c r="G8" s="2"/>
      <c r="H8" s="1" t="s">
        <v>37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6803F-56BF-4E65-BE1E-5B4E77DD970E}">
  <dimension ref="A1:H12"/>
  <sheetViews>
    <sheetView tabSelected="1" workbookViewId="0">
      <selection activeCell="E17" sqref="E17"/>
    </sheetView>
  </sheetViews>
  <sheetFormatPr baseColWidth="10" defaultRowHeight="14.4" x14ac:dyDescent="0.3"/>
  <cols>
    <col min="1" max="1" width="26.88671875" bestFit="1" customWidth="1"/>
    <col min="3" max="3" width="9.109375" bestFit="1" customWidth="1"/>
    <col min="4" max="4" width="13.88671875" bestFit="1" customWidth="1"/>
    <col min="5" max="5" width="17.109375" bestFit="1" customWidth="1"/>
    <col min="6" max="6" width="15.6640625" bestFit="1" customWidth="1"/>
    <col min="7" max="7" width="9.109375" bestFit="1" customWidth="1"/>
  </cols>
  <sheetData>
    <row r="1" spans="1:8" x14ac:dyDescent="0.3">
      <c r="A1" t="s">
        <v>19</v>
      </c>
    </row>
    <row r="2" spans="1:8" x14ac:dyDescent="0.3">
      <c r="A2" t="s">
        <v>0</v>
      </c>
      <c r="B2" t="s">
        <v>11</v>
      </c>
      <c r="C2" t="s">
        <v>1</v>
      </c>
      <c r="D2" t="s">
        <v>2</v>
      </c>
      <c r="E2" t="s">
        <v>3</v>
      </c>
      <c r="F2" t="s">
        <v>4</v>
      </c>
      <c r="G2" t="s">
        <v>20</v>
      </c>
      <c r="H2" t="s">
        <v>34</v>
      </c>
    </row>
    <row r="3" spans="1:8" s="1" customFormat="1" x14ac:dyDescent="0.3">
      <c r="A3" s="1" t="s">
        <v>39</v>
      </c>
      <c r="B3" s="1" t="s">
        <v>40</v>
      </c>
      <c r="C3" s="1">
        <v>2.94</v>
      </c>
      <c r="D3" s="1">
        <v>3.71</v>
      </c>
      <c r="E3" s="1">
        <f>SUM(C3,D3)</f>
        <v>6.65</v>
      </c>
      <c r="F3" s="1" t="s">
        <v>9</v>
      </c>
      <c r="G3" s="6"/>
    </row>
    <row r="4" spans="1:8" x14ac:dyDescent="0.3">
      <c r="A4" t="s">
        <v>41</v>
      </c>
      <c r="B4" t="s">
        <v>42</v>
      </c>
      <c r="C4">
        <v>8.64</v>
      </c>
      <c r="D4">
        <v>4.84</v>
      </c>
      <c r="E4">
        <f t="shared" ref="E4:E11" si="0">SUM(C4,D4)</f>
        <v>13.48</v>
      </c>
      <c r="F4" t="s">
        <v>10</v>
      </c>
      <c r="G4" s="5"/>
    </row>
    <row r="5" spans="1:8" s="1" customFormat="1" x14ac:dyDescent="0.3">
      <c r="A5" s="1" t="s">
        <v>58</v>
      </c>
      <c r="B5" s="1" t="s">
        <v>57</v>
      </c>
      <c r="C5" s="1">
        <v>21</v>
      </c>
      <c r="D5" s="1">
        <v>3.45</v>
      </c>
      <c r="E5" s="1">
        <f t="shared" si="0"/>
        <v>24.45</v>
      </c>
      <c r="F5" s="1" t="s">
        <v>9</v>
      </c>
      <c r="G5" s="6"/>
    </row>
    <row r="6" spans="1:8" x14ac:dyDescent="0.3">
      <c r="A6" t="s">
        <v>43</v>
      </c>
      <c r="B6" t="s">
        <v>44</v>
      </c>
      <c r="C6">
        <v>26.98</v>
      </c>
      <c r="D6">
        <v>4.37</v>
      </c>
      <c r="E6">
        <f t="shared" si="0"/>
        <v>31.35</v>
      </c>
      <c r="F6" t="s">
        <v>10</v>
      </c>
      <c r="G6" s="5"/>
    </row>
    <row r="7" spans="1:8" s="1" customFormat="1" x14ac:dyDescent="0.3">
      <c r="A7" s="1" t="s">
        <v>45</v>
      </c>
      <c r="B7" s="1" t="s">
        <v>46</v>
      </c>
      <c r="C7" s="4">
        <v>33.36</v>
      </c>
      <c r="D7" s="4">
        <v>4.59</v>
      </c>
      <c r="E7" s="1">
        <f t="shared" si="0"/>
        <v>37.950000000000003</v>
      </c>
      <c r="F7" s="1" t="s">
        <v>9</v>
      </c>
      <c r="G7" s="6"/>
    </row>
    <row r="8" spans="1:8" x14ac:dyDescent="0.3">
      <c r="A8" t="s">
        <v>47</v>
      </c>
      <c r="B8" t="s">
        <v>48</v>
      </c>
      <c r="C8">
        <v>41.01</v>
      </c>
      <c r="D8">
        <v>5.33</v>
      </c>
      <c r="E8">
        <f t="shared" si="0"/>
        <v>46.339999999999996</v>
      </c>
      <c r="F8" t="s">
        <v>10</v>
      </c>
      <c r="G8" s="5"/>
    </row>
    <row r="9" spans="1:8" s="1" customFormat="1" x14ac:dyDescent="0.3">
      <c r="A9" s="1" t="s">
        <v>49</v>
      </c>
      <c r="B9" s="1" t="s">
        <v>50</v>
      </c>
      <c r="C9" s="1">
        <v>55.05</v>
      </c>
      <c r="D9" s="1">
        <v>7.79</v>
      </c>
      <c r="E9" s="1">
        <f t="shared" si="0"/>
        <v>62.839999999999996</v>
      </c>
      <c r="F9" s="1" t="s">
        <v>9</v>
      </c>
      <c r="G9" s="6"/>
    </row>
    <row r="10" spans="1:8" x14ac:dyDescent="0.3">
      <c r="A10" t="s">
        <v>51</v>
      </c>
      <c r="B10" t="s">
        <v>52</v>
      </c>
      <c r="C10">
        <v>64.069999999999993</v>
      </c>
      <c r="D10">
        <v>5.92</v>
      </c>
      <c r="E10">
        <f t="shared" si="0"/>
        <v>69.989999999999995</v>
      </c>
      <c r="F10" t="s">
        <v>10</v>
      </c>
      <c r="G10" s="5"/>
    </row>
    <row r="11" spans="1:8" s="1" customFormat="1" x14ac:dyDescent="0.3">
      <c r="A11" s="1" t="s">
        <v>53</v>
      </c>
      <c r="B11" s="1" t="s">
        <v>54</v>
      </c>
      <c r="C11" s="1">
        <v>81.3</v>
      </c>
      <c r="D11" s="1">
        <v>6.67</v>
      </c>
      <c r="E11" s="1">
        <f t="shared" si="0"/>
        <v>87.97</v>
      </c>
      <c r="F11" s="1" t="s">
        <v>9</v>
      </c>
      <c r="G11" s="6"/>
    </row>
    <row r="12" spans="1:8" s="7" customFormat="1" x14ac:dyDescent="0.3">
      <c r="A12" s="7" t="s">
        <v>55</v>
      </c>
      <c r="B12" s="7" t="s">
        <v>56</v>
      </c>
      <c r="C12" s="7">
        <v>99.26</v>
      </c>
      <c r="D12" s="7">
        <v>5.21</v>
      </c>
      <c r="E12" s="7">
        <f>SUM(C12,D12)</f>
        <v>104.47</v>
      </c>
      <c r="F12" s="7" t="s">
        <v>10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Monday_19JAN2026UTC15_55</vt:lpstr>
      <vt:lpstr>Tuesday_20_JAN2026UTC16_00</vt:lpstr>
      <vt:lpstr>Wednesday_17FEB2026UTC04_00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Dvorak</dc:creator>
  <cp:lastModifiedBy>Alexander Dvorak</cp:lastModifiedBy>
  <dcterms:created xsi:type="dcterms:W3CDTF">2015-06-05T18:19:34Z</dcterms:created>
  <dcterms:modified xsi:type="dcterms:W3CDTF">2026-02-17T22:03:47Z</dcterms:modified>
</cp:coreProperties>
</file>